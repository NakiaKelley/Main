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eek 12 Production Menu" sheetId="1" state="visible" r:id="rId1"/>
    <sheet xmlns:r="http://schemas.openxmlformats.org/officeDocument/2006/relationships" name="Packaging Reference" sheetId="2" state="visible" r:id="rId2"/>
  </sheets>
  <definedNames>
    <definedName name="_xlnm.Print_Area" localSheetId="0">'Week 12 Production Menu'!$A$1:$F$63</definedName>
    <definedName name="_xlnm.Print_Area" localSheetId="1">'Packaging Reference'!$A$1:$F$60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D6DFE6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B2A4A"/>
      <sz val="9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i val="1"/>
      <color rgb="FF4A6274"/>
      <sz val="9"/>
    </font>
    <font>
      <name val="Arial"/>
      <charset val="1"/>
      <family val="0"/>
      <b val="1"/>
      <color rgb="FF1B2A4A"/>
      <sz val="10"/>
    </font>
    <font>
      <name val="Arial"/>
      <charset val="1"/>
      <family val="0"/>
      <i val="1"/>
      <color rgb="FF8C9DAA"/>
      <sz val="9"/>
    </font>
  </fonts>
  <fills count="11">
    <fill>
      <patternFill/>
    </fill>
    <fill>
      <patternFill patternType="gray125"/>
    </fill>
    <fill>
      <patternFill patternType="solid">
        <fgColor rgb="FF1B2A4A"/>
        <bgColor rgb="FF2D3436"/>
      </patternFill>
    </fill>
    <fill>
      <patternFill patternType="solid">
        <fgColor rgb="FFB8976A"/>
        <bgColor rgb="FF8C9DAA"/>
      </patternFill>
    </fill>
    <fill>
      <patternFill patternType="solid">
        <fgColor rgb="FFD6DFE6"/>
        <bgColor rgb="FFE2E5E8"/>
      </patternFill>
    </fill>
    <fill>
      <patternFill patternType="solid">
        <fgColor rgb="FFEDE5D8"/>
        <bgColor rgb="FFE2E5E8"/>
      </patternFill>
    </fill>
    <fill>
      <patternFill patternType="solid">
        <fgColor rgb="FFF7F5F0"/>
        <bgColor rgb="FFF4F5F6"/>
      </patternFill>
    </fill>
    <fill>
      <patternFill patternType="solid">
        <fgColor rgb="FF2D3436"/>
        <bgColor rgb="FF1B2A4A"/>
      </patternFill>
    </fill>
    <fill>
      <patternFill patternType="solid">
        <fgColor rgb="FF4A6274"/>
        <bgColor rgb="FF333399"/>
      </patternFill>
    </fill>
    <fill>
      <patternFill patternType="solid">
        <fgColor rgb="FFF4F5F6"/>
        <bgColor rgb="FFF7F5F0"/>
      </patternFill>
    </fill>
    <fill>
      <patternFill patternType="solid">
        <fgColor rgb="FFE2E5E8"/>
        <bgColor rgb="FFEDE5D8"/>
      </patternFill>
    </fill>
  </fills>
  <borders count="7">
    <border>
      <left/>
      <right/>
      <top/>
      <bottom/>
      <diagonal/>
    </border>
    <border>
      <left style="thin">
        <color rgb="FFC5CDD4"/>
      </left>
      <right style="thin">
        <color rgb="FFC5CDD4"/>
      </right>
      <top style="thin">
        <color rgb="FFC5CDD4"/>
      </top>
      <bottom style="thin">
        <color rgb="FFC5CDD4"/>
      </bottom>
      <diagonal/>
    </border>
    <border>
      <left style="thin">
        <color rgb="FFC5CDD4"/>
      </left>
      <right/>
      <top style="thin">
        <color rgb="FFC5CDD4"/>
      </top>
      <bottom style="thin">
        <color rgb="FFC5CDD4"/>
      </bottom>
      <diagonal/>
    </border>
    <border>
      <left/>
      <right/>
      <top style="thin">
        <color rgb="FFC5CDD4"/>
      </top>
      <bottom/>
      <diagonal/>
    </border>
    <border>
      <left/>
      <right style="thin">
        <color rgb="FFC5CDD4"/>
      </right>
      <top style="thin">
        <color rgb="FFC5CDD4"/>
      </top>
      <bottom/>
      <diagonal/>
    </border>
    <border>
      <left/>
      <right/>
      <top style="thin">
        <color rgb="FFC5CDD4"/>
      </top>
      <bottom style="thin">
        <color rgb="FFC5CDD4"/>
      </bottom>
      <diagonal/>
    </border>
    <border>
      <left/>
      <right style="thin">
        <color rgb="FFC5CDD4"/>
      </right>
      <top style="thin">
        <color rgb="FFC5CDD4"/>
      </top>
      <bottom style="thin">
        <color rgb="FFC5CD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DD4"/>
      <rgbColor rgb="FFB8976A"/>
      <rgbColor rgb="FF9999FF"/>
      <rgbColor rgb="FF993366"/>
      <rgbColor rgb="FFF7F5F0"/>
      <rgbColor rgb="FFF4F5F6"/>
      <rgbColor rgb="FF660066"/>
      <rgbColor rgb="FFFF8080"/>
      <rgbColor rgb="FF0066CC"/>
      <rgbColor rgb="FFD6DF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5E8"/>
      <rgbColor rgb="FFEDE5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274"/>
      <rgbColor rgb="FF8C9DAA"/>
      <rgbColor rgb="FF1B2A4A"/>
      <rgbColor rgb="FF339966"/>
      <rgbColor rgb="FF003300"/>
      <rgbColor rgb="FF1A1A1A"/>
      <rgbColor rgb="FF993300"/>
      <rgbColor rgb="FF993366"/>
      <rgbColor rgb="FF333399"/>
      <rgbColor rgb="FF2D34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3" min="1" max="1"/>
    <col width="15" customWidth="1" style="33" min="2" max="4"/>
    <col width="14" customWidth="1" style="33" min="5" max="5"/>
    <col width="26" customWidth="1" style="33" min="6" max="6"/>
  </cols>
  <sheetData>
    <row r="1" ht="34.5" customHeight="1" s="34">
      <c r="A1" s="35" t="inlineStr">
        <is>
          <t>CITIZENS COFFEE &amp; CATERING</t>
        </is>
      </c>
    </row>
    <row r="2" ht="15" customHeight="1" s="34">
      <c r="A2" s="36" t="inlineStr">
        <is>
          <t>Weekly Grab &amp; Go Production Menu</t>
        </is>
      </c>
    </row>
    <row r="3" ht="24.75" customHeight="1" s="34">
      <c r="A3" s="37" t="inlineStr">
        <is>
          <t>WEEK 12  |  March 16 – 22, 2026</t>
        </is>
      </c>
    </row>
    <row r="4" ht="7.5" customHeight="1" s="34"/>
    <row r="5" ht="27.75" customHeight="1" s="34">
      <c r="A5" s="38" t="inlineStr">
        <is>
          <t>AVAILABLE SURPLUS INVENTORY</t>
        </is>
      </c>
    </row>
    <row r="6" ht="15" customHeight="1" s="34">
      <c r="A6" s="39" t="inlineStr">
        <is>
          <t>Carrot Chips</t>
        </is>
      </c>
      <c r="B6" s="39" t="n"/>
      <c r="C6" s="39" t="n"/>
      <c r="D6" s="39" t="inlineStr">
        <is>
          <t>Produce</t>
        </is>
      </c>
      <c r="E6" s="39" t="n"/>
      <c r="F6" s="39" t="inlineStr">
        <is>
          <t>Pickled Carrot Jars</t>
        </is>
      </c>
    </row>
    <row r="7" ht="21.75" customHeight="1" s="34">
      <c r="A7" s="40" t="inlineStr">
        <is>
          <t>Broccoli</t>
        </is>
      </c>
      <c r="B7" s="40" t="n"/>
      <c r="C7" s="40" t="n"/>
      <c r="D7" s="40" t="inlineStr">
        <is>
          <t>Produce</t>
        </is>
      </c>
      <c r="E7" s="40" t="n"/>
      <c r="F7" s="40" t="inlineStr">
        <is>
          <t>Broccoli Cheddar Bowl, Beef &amp; Broccoli Bowl</t>
        </is>
      </c>
    </row>
    <row r="8" ht="21.75" customHeight="1" s="34">
      <c r="A8" s="41" t="inlineStr">
        <is>
          <t>Dehydrated Hash Browns</t>
        </is>
      </c>
      <c r="B8" s="41" t="n"/>
      <c r="C8" s="41" t="n"/>
      <c r="D8" s="41" t="inlineStr">
        <is>
          <t>Pantry</t>
        </is>
      </c>
      <c r="E8" s="41" t="n"/>
      <c r="F8" s="41" t="inlineStr">
        <is>
          <t>Hash Brown Breakfast Bowls, Breakfast Tacos</t>
        </is>
      </c>
    </row>
    <row r="9" ht="21.75" customHeight="1" s="34">
      <c r="A9" s="40" t="inlineStr">
        <is>
          <t>Sweet Potatoes</t>
        </is>
      </c>
      <c r="B9" s="40" t="n"/>
      <c r="C9" s="40" t="n"/>
      <c r="D9" s="40" t="inlineStr">
        <is>
          <t>Produce</t>
        </is>
      </c>
      <c r="E9" s="40" t="n"/>
      <c r="F9" s="40" t="inlineStr">
        <is>
          <t>Golden Hour Bowl, Harvest Bowl, Sweet Potato Wrap, Parfait</t>
        </is>
      </c>
    </row>
    <row r="10" ht="21.75" customHeight="1" s="34">
      <c r="A10" s="41" t="n"/>
      <c r="B10" s="41" t="n"/>
      <c r="C10" s="41" t="n"/>
      <c r="D10" s="41" t="n"/>
      <c r="E10" s="41" t="n"/>
      <c r="F10" s="41" t="n"/>
    </row>
    <row r="11" ht="21.75" customHeight="1" s="34">
      <c r="A11" s="40" t="n"/>
      <c r="B11" s="40" t="n"/>
      <c r="C11" s="40" t="n"/>
      <c r="D11" s="40" t="n"/>
      <c r="E11" s="40" t="n"/>
      <c r="F11" s="40" t="n"/>
    </row>
    <row r="12" ht="21.75" customHeight="1" s="34">
      <c r="A12" s="41" t="inlineStr">
        <is>
          <t>Brisket (cooked)</t>
        </is>
      </c>
      <c r="B12" s="41" t="n"/>
      <c r="C12" s="41" t="n"/>
      <c r="D12" s="41" t="inlineStr">
        <is>
          <t>Protein</t>
        </is>
      </c>
      <c r="E12" s="41" t="n"/>
      <c r="F12" s="41" t="inlineStr">
        <is>
          <t>Tex-Mex Brisket Wraps</t>
        </is>
      </c>
    </row>
    <row r="13" ht="7.5" customHeight="1" s="34">
      <c r="A13" s="40" t="n"/>
      <c r="B13" s="40" t="n"/>
      <c r="C13" s="40" t="n"/>
      <c r="D13" s="40" t="n"/>
      <c r="E13" s="40" t="n"/>
      <c r="F13" s="40" t="n"/>
    </row>
    <row r="14" ht="27.75" customHeight="1" s="34">
      <c r="A14" s="42" t="inlineStr">
        <is>
          <t>PRODUCTION MENU — BY LOCATION &amp; DELIVERY DAY</t>
        </is>
      </c>
      <c r="B14" s="43" t="n"/>
      <c r="C14" s="43" t="n"/>
      <c r="D14" s="43" t="n"/>
      <c r="E14" s="43" t="n"/>
      <c r="F14" s="44" t="n"/>
    </row>
    <row r="15" ht="24" customHeight="1" s="34">
      <c r="A15" s="45" t="n"/>
      <c r="B15" s="46" t="inlineStr">
        <is>
          <t>MONDAY PM DELIVERY</t>
        </is>
      </c>
      <c r="C15" s="44" t="n"/>
      <c r="D15" s="46" t="inlineStr">
        <is>
          <t>FRIDAY AM</t>
        </is>
      </c>
      <c r="E15" s="45" t="n"/>
      <c r="F15" s="45" t="n"/>
    </row>
    <row r="16" ht="15" customHeight="1" s="34">
      <c r="A16" s="39" t="inlineStr">
        <is>
          <t>Menu Item</t>
        </is>
      </c>
      <c r="B16" s="39" t="inlineStr">
        <is>
          <t>Conroe</t>
        </is>
      </c>
      <c r="C16" s="39" t="inlineStr">
        <is>
          <t>New Caney</t>
        </is>
      </c>
      <c r="D16" s="39" t="inlineStr">
        <is>
          <t>Conroe</t>
        </is>
      </c>
      <c r="E16" s="39" t="inlineStr">
        <is>
          <t>Week Total</t>
        </is>
      </c>
      <c r="F16" s="39" t="inlineStr">
        <is>
          <t>Notes</t>
        </is>
      </c>
    </row>
    <row r="17" ht="24" customHeight="1" s="34">
      <c r="A17" s="47" t="inlineStr">
        <is>
          <t>BREAKFAST</t>
        </is>
      </c>
      <c r="B17" s="43" t="n"/>
      <c r="C17" s="43" t="n"/>
      <c r="D17" s="43" t="n"/>
      <c r="E17" s="43" t="n"/>
      <c r="F17" s="44" t="n"/>
    </row>
    <row r="18" ht="21.75" customHeight="1" s="34">
      <c r="A18" s="48" t="inlineStr">
        <is>
          <t>Bacon Breakfast Taco w/ 2 oz Salsa</t>
        </is>
      </c>
      <c r="B18" s="49" t="n">
        <v>5</v>
      </c>
      <c r="C18" s="49" t="n">
        <v>5</v>
      </c>
      <c r="D18" s="49" t="n">
        <v>15</v>
      </c>
      <c r="E18" s="50">
        <f>B18+C18+D18</f>
        <v/>
      </c>
      <c r="F18" s="51" t="n"/>
    </row>
    <row r="19" ht="21.75" customHeight="1" s="34">
      <c r="A19" s="52" t="inlineStr">
        <is>
          <t>Sausage Breakfast Taco w/ 2 oz Salsa</t>
        </is>
      </c>
      <c r="B19" s="53" t="n">
        <v>5</v>
      </c>
      <c r="C19" s="53" t="n">
        <v>5</v>
      </c>
      <c r="D19" s="53" t="n">
        <v>15</v>
      </c>
      <c r="E19" s="54">
        <f>B19+C19+D19</f>
        <v/>
      </c>
      <c r="F19" s="55" t="n"/>
    </row>
    <row r="20" ht="21.75" customHeight="1" s="34">
      <c r="A20" s="48" t="inlineStr">
        <is>
          <t>Potato Breakfast Taco w/ 2 oz Salsa</t>
        </is>
      </c>
      <c r="B20" s="49" t="n">
        <v>5</v>
      </c>
      <c r="C20" s="49" t="n">
        <v>5</v>
      </c>
      <c r="D20" s="49" t="n">
        <v>15</v>
      </c>
      <c r="E20" s="50">
        <f>B20+C20+D20</f>
        <v/>
      </c>
      <c r="F20" s="51" t="inlineStr">
        <is>
          <t>Weekly staple</t>
        </is>
      </c>
    </row>
    <row r="21" ht="21.75" customHeight="1" s="34">
      <c r="A21" s="52" t="inlineStr">
        <is>
          <t>Loaded Hash Brown Breakfast Bowl</t>
        </is>
      </c>
      <c r="B21" s="53" t="n">
        <v>5</v>
      </c>
      <c r="C21" s="53" t="n">
        <v>5</v>
      </c>
      <c r="D21" s="53" t="n">
        <v>15</v>
      </c>
      <c r="E21" s="54">
        <f>B21+C21+D21</f>
        <v/>
      </c>
      <c r="F21" s="55" t="inlineStr">
        <is>
          <t>Surplus hash browns</t>
        </is>
      </c>
    </row>
    <row r="22" ht="21.75" customHeight="1" s="34">
      <c r="A22" s="48" t="inlineStr">
        <is>
          <t>Fruit Bowl</t>
        </is>
      </c>
      <c r="B22" s="49" t="n">
        <v>0</v>
      </c>
      <c r="C22" s="49" t="n">
        <v>3</v>
      </c>
      <c r="D22" s="49" t="n">
        <v>0</v>
      </c>
      <c r="E22" s="50">
        <f>B22+C22+D22</f>
        <v/>
      </c>
      <c r="F22" s="48" t="n"/>
    </row>
    <row r="23" ht="21.75" customHeight="1" s="34">
      <c r="A23" s="52" t="n"/>
      <c r="B23" s="53" t="n"/>
      <c r="C23" s="53" t="n"/>
      <c r="D23" s="53" t="n"/>
      <c r="E23" s="54">
        <f>B23+C23+D23</f>
        <v/>
      </c>
      <c r="F23" s="52" t="n"/>
    </row>
    <row r="24" ht="24" customHeight="1" s="34">
      <c r="A24" s="56" t="inlineStr">
        <is>
          <t>BREAKFAST SUBTOTAL</t>
        </is>
      </c>
      <c r="B24" s="57">
        <f>SUM(B18:B23)</f>
        <v/>
      </c>
      <c r="C24" s="57">
        <f>SUM(C18:C23)</f>
        <v/>
      </c>
      <c r="D24" s="57">
        <f>SUM(D18:D23)</f>
        <v/>
      </c>
      <c r="E24" s="57">
        <f>SUM(E18:E23)</f>
        <v/>
      </c>
      <c r="F24" s="58" t="n"/>
    </row>
    <row r="25" ht="24" customHeight="1" s="34">
      <c r="A25" s="47" t="inlineStr">
        <is>
          <t>BOXED LUNCHES — Salads</t>
        </is>
      </c>
      <c r="B25" s="43" t="n"/>
      <c r="C25" s="43" t="n"/>
      <c r="D25" s="43" t="n"/>
      <c r="E25" s="43" t="n"/>
      <c r="F25" s="44" t="n"/>
    </row>
    <row r="26" ht="21.75" customHeight="1" s="34">
      <c r="A26" s="48" t="inlineStr">
        <is>
          <t>Broccoli Crunch Salad</t>
        </is>
      </c>
      <c r="B26" s="49" t="n">
        <v>2</v>
      </c>
      <c r="C26" s="49" t="n">
        <v>3</v>
      </c>
      <c r="D26" s="49" t="n">
        <v>0</v>
      </c>
      <c r="E26" s="50">
        <f>B26+C26+D26</f>
        <v/>
      </c>
      <c r="F26" s="51" t="inlineStr">
        <is>
          <t>Surplus broccoli</t>
        </is>
      </c>
    </row>
    <row r="27" ht="21.75" customHeight="1" s="34">
      <c r="A27" s="52" t="inlineStr">
        <is>
          <t>Southwest Chicken Salad</t>
        </is>
      </c>
      <c r="B27" s="53" t="n">
        <v>2</v>
      </c>
      <c r="C27" s="53" t="n">
        <v>3</v>
      </c>
      <c r="D27" s="53" t="n">
        <v>0</v>
      </c>
      <c r="E27" s="54">
        <f>B27+C27+D27</f>
        <v/>
      </c>
      <c r="F27" s="52" t="n"/>
    </row>
    <row r="28" ht="21.75" customHeight="1" s="34">
      <c r="A28" s="48" t="inlineStr">
        <is>
          <t>Garden Side Salad w/ Ranch</t>
        </is>
      </c>
      <c r="B28" s="49" t="n">
        <v>2</v>
      </c>
      <c r="C28" s="49" t="n">
        <v>2</v>
      </c>
      <c r="D28" s="49" t="n">
        <v>0</v>
      </c>
      <c r="E28" s="50">
        <f>B28+C28+D28</f>
        <v/>
      </c>
      <c r="F28" s="48" t="n"/>
    </row>
    <row r="29" ht="24" customHeight="1" s="34">
      <c r="A29" s="56" t="inlineStr">
        <is>
          <t>BOXED LUNCHES — Salads SUBTOTAL</t>
        </is>
      </c>
      <c r="B29" s="57">
        <f>SUM(B26:B28)</f>
        <v/>
      </c>
      <c r="C29" s="57">
        <f>SUM(C26:C28)</f>
        <v/>
      </c>
      <c r="D29" s="57">
        <f>SUM(D26:D28)</f>
        <v/>
      </c>
      <c r="E29" s="57">
        <f>SUM(E26:E28)</f>
        <v/>
      </c>
      <c r="F29" s="58" t="n"/>
    </row>
    <row r="30" ht="24" customHeight="1" s="34">
      <c r="A30" s="47" t="inlineStr">
        <is>
          <t>WRAPS &amp; SANDWICHES</t>
        </is>
      </c>
      <c r="B30" s="43" t="n"/>
      <c r="C30" s="43" t="n"/>
      <c r="D30" s="43" t="n"/>
      <c r="E30" s="43" t="n"/>
      <c r="F30" s="44" t="n"/>
    </row>
    <row r="31" ht="21.75" customHeight="1" s="34">
      <c r="A31" s="48" t="inlineStr">
        <is>
          <t>Roasted Sweet Potato &amp; Black Bean Wrap</t>
        </is>
      </c>
      <c r="B31" s="49" t="n">
        <v>2</v>
      </c>
      <c r="C31" s="49" t="n">
        <v>3</v>
      </c>
      <c r="D31" s="49" t="n">
        <v>0</v>
      </c>
      <c r="E31" s="50">
        <f>B31+C31+D31</f>
        <v/>
      </c>
      <c r="F31" s="51" t="inlineStr">
        <is>
          <t>Surplus sweet potatoes</t>
        </is>
      </c>
    </row>
    <row r="32" ht="21.75" customHeight="1" s="34">
      <c r="A32" s="52" t="inlineStr">
        <is>
          <t>Chicken Caesar Wrap</t>
        </is>
      </c>
      <c r="B32" s="53" t="n">
        <v>2</v>
      </c>
      <c r="C32" s="53" t="n">
        <v>3</v>
      </c>
      <c r="D32" s="53" t="n">
        <v>0</v>
      </c>
      <c r="E32" s="54">
        <f>B32+C32+D32</f>
        <v/>
      </c>
      <c r="F32" s="52" t="n"/>
    </row>
    <row r="33" ht="21.75" customHeight="1" s="34">
      <c r="A33" s="48" t="inlineStr">
        <is>
          <t>Turkey &amp; Swiss on Sourdough</t>
        </is>
      </c>
      <c r="B33" s="49" t="n">
        <v>2</v>
      </c>
      <c r="C33" s="49" t="n">
        <v>2</v>
      </c>
      <c r="D33" s="49" t="n">
        <v>0</v>
      </c>
      <c r="E33" s="50">
        <f>B33+C33+D33</f>
        <v/>
      </c>
      <c r="F33" s="48" t="n"/>
    </row>
    <row r="34" ht="24" customHeight="1" s="34">
      <c r="A34" s="56" t="inlineStr">
        <is>
          <t>WRAPS &amp; SANDWICHES SUBTOTAL</t>
        </is>
      </c>
      <c r="B34" s="57">
        <f>SUM(B31:B33)</f>
        <v/>
      </c>
      <c r="C34" s="57">
        <f>SUM(C31:C33)</f>
        <v/>
      </c>
      <c r="D34" s="57">
        <f>SUM(D31:D33)</f>
        <v/>
      </c>
      <c r="E34" s="57">
        <f>SUM(E31:E33)</f>
        <v/>
      </c>
      <c r="F34" s="58" t="n"/>
    </row>
    <row r="35" ht="24" customHeight="1" s="34">
      <c r="A35" s="47" t="inlineStr">
        <is>
          <t>LUNCH BOWLS</t>
        </is>
      </c>
      <c r="B35" s="43" t="n"/>
      <c r="C35" s="43" t="n"/>
      <c r="D35" s="43" t="n"/>
      <c r="E35" s="43" t="n"/>
      <c r="F35" s="44" t="n"/>
    </row>
    <row r="36" ht="21.75" customHeight="1" s="34">
      <c r="A36" s="48" t="inlineStr">
        <is>
          <t>Beef &amp; Broccoli Stir-Fry Bowl (Rice)</t>
        </is>
      </c>
      <c r="B36" s="49" t="n">
        <v>2</v>
      </c>
      <c r="C36" s="49" t="n">
        <v>4</v>
      </c>
      <c r="D36" s="49" t="n">
        <v>0</v>
      </c>
      <c r="E36" s="50">
        <f>B36+C36+D36</f>
        <v/>
      </c>
      <c r="F36" s="51" t="inlineStr">
        <is>
          <t>Surplus broccoli</t>
        </is>
      </c>
    </row>
    <row r="37" ht="21.75" customHeight="1" s="34">
      <c r="A37" s="52" t="n"/>
      <c r="B37" s="53" t="n"/>
      <c r="C37" s="53" t="n"/>
      <c r="D37" s="53" t="n"/>
      <c r="E37" s="54" t="n"/>
      <c r="F37" s="55" t="n"/>
    </row>
    <row r="38" ht="21.75" customHeight="1" s="34">
      <c r="A38" s="48" t="inlineStr">
        <is>
          <t>Golden Hour Sweet Potato Bowl</t>
        </is>
      </c>
      <c r="B38" s="49" t="n">
        <v>2</v>
      </c>
      <c r="C38" s="49" t="n">
        <v>4</v>
      </c>
      <c r="D38" s="49" t="n">
        <v>0</v>
      </c>
      <c r="E38" s="50">
        <f>B38+C38+D38</f>
        <v/>
      </c>
      <c r="F38" s="51" t="inlineStr">
        <is>
          <t>Surplus sweet potatoes</t>
        </is>
      </c>
    </row>
    <row r="39" ht="21.75" customHeight="1" s="34">
      <c r="A39" s="52" t="inlineStr">
        <is>
          <t>Mac &amp; Cheese Bowl</t>
        </is>
      </c>
      <c r="B39" s="53" t="n">
        <v>2</v>
      </c>
      <c r="C39" s="53" t="n">
        <v>4</v>
      </c>
      <c r="D39" s="53" t="n">
        <v>0</v>
      </c>
      <c r="E39" s="54">
        <f>B39+C39+D39</f>
        <v/>
      </c>
      <c r="F39" s="55" t="inlineStr">
        <is>
          <t>Surplus sweet potatoes</t>
        </is>
      </c>
    </row>
    <row r="40" ht="21.75" customHeight="1" s="34">
      <c r="A40" s="48" t="n"/>
      <c r="B40" s="49" t="n"/>
      <c r="C40" s="49" t="n"/>
      <c r="D40" s="49" t="n"/>
      <c r="E40" s="50">
        <f>B40+C40+D40</f>
        <v/>
      </c>
      <c r="F40" s="48" t="n"/>
    </row>
    <row r="41" ht="21.75" customHeight="1" s="34">
      <c r="A41" s="52" t="n"/>
      <c r="B41" s="53" t="n"/>
      <c r="C41" s="53" t="n"/>
      <c r="D41" s="53" t="n"/>
      <c r="E41" s="54">
        <f>B41+C41+D41</f>
        <v/>
      </c>
      <c r="F41" s="52" t="n"/>
    </row>
    <row r="42" ht="24" customHeight="1" s="34">
      <c r="A42" s="56" t="inlineStr">
        <is>
          <t>LUNCH BOWLS SUBTOTAL</t>
        </is>
      </c>
      <c r="B42" s="57">
        <f>SUM(B36:B41)</f>
        <v/>
      </c>
      <c r="C42" s="57">
        <f>SUM(C36:C41)</f>
        <v/>
      </c>
      <c r="D42" s="57">
        <f>SUM(D36:D41)</f>
        <v/>
      </c>
      <c r="E42" s="57">
        <f>SUM(E36:E41)</f>
        <v/>
      </c>
      <c r="F42" s="58" t="n"/>
    </row>
    <row r="43" ht="24" customHeight="1" s="34">
      <c r="A43" s="47" t="inlineStr">
        <is>
          <t>LUNCH MISCELLANEOUS</t>
        </is>
      </c>
      <c r="B43" s="43" t="n"/>
      <c r="C43" s="43" t="n"/>
      <c r="D43" s="43" t="n"/>
      <c r="E43" s="43" t="n"/>
      <c r="F43" s="44" t="n"/>
    </row>
    <row r="44" ht="21.75" customHeight="1" s="34">
      <c r="A44" s="48" t="inlineStr">
        <is>
          <t>Beef Empanada w/ 2 oz Chimichurri</t>
        </is>
      </c>
      <c r="B44" s="49" t="n">
        <v>0</v>
      </c>
      <c r="C44" s="49" t="n">
        <v>5</v>
      </c>
      <c r="D44" s="49" t="n">
        <v>12</v>
      </c>
      <c r="E44" s="50">
        <f>B44+C44+D44</f>
        <v/>
      </c>
      <c r="F44" s="51" t="n"/>
    </row>
    <row r="45" ht="21.75" customHeight="1" s="34">
      <c r="A45" s="52" t="inlineStr">
        <is>
          <t>Asian Ginger Pickled Carrot Jars</t>
        </is>
      </c>
      <c r="B45" s="53" t="n">
        <v>6</v>
      </c>
      <c r="C45" s="53" t="n">
        <v>6</v>
      </c>
      <c r="D45" s="53" t="n">
        <v>0</v>
      </c>
      <c r="E45" s="54">
        <f>B45+C45+D45</f>
        <v/>
      </c>
      <c r="F45" s="55" t="inlineStr">
        <is>
          <t>Surplus carrot chips</t>
        </is>
      </c>
    </row>
    <row r="46" ht="21.75" customHeight="1" s="34">
      <c r="A46" s="48" t="inlineStr">
        <is>
          <t>Chips &amp; Salsa Cup</t>
        </is>
      </c>
      <c r="B46" s="49" t="n">
        <v>3</v>
      </c>
      <c r="C46" s="49" t="n">
        <v>3</v>
      </c>
      <c r="D46" s="49" t="n">
        <v>6</v>
      </c>
      <c r="E46" s="50" t="n"/>
      <c r="F46" s="48" t="n"/>
    </row>
    <row r="47" ht="21.75" customHeight="1" s="34">
      <c r="A47" s="52" t="n"/>
      <c r="B47" s="53" t="n"/>
      <c r="C47" s="53" t="n"/>
      <c r="D47" s="53" t="n"/>
      <c r="E47" s="54">
        <f>B47+C47+D47</f>
        <v/>
      </c>
      <c r="F47" s="52" t="n"/>
    </row>
    <row r="48" ht="24" customHeight="1" s="34">
      <c r="A48" s="56" t="inlineStr">
        <is>
          <t>LUNCH MISCELLANEOUS SUBTOTAL</t>
        </is>
      </c>
      <c r="B48" s="57">
        <f>SUM(B44:B47)</f>
        <v/>
      </c>
      <c r="C48" s="57">
        <f>SUM(C44:C47)</f>
        <v/>
      </c>
      <c r="D48" s="57">
        <f>SUM(D44:D47)</f>
        <v/>
      </c>
      <c r="E48" s="57">
        <f>SUM(E44:E47)</f>
        <v/>
      </c>
      <c r="F48" s="58" t="n"/>
    </row>
    <row r="49" ht="24" customHeight="1" s="34">
      <c r="A49" s="47" t="inlineStr">
        <is>
          <t>PARFAITS</t>
        </is>
      </c>
      <c r="B49" s="43" t="n"/>
      <c r="C49" s="43" t="n"/>
      <c r="D49" s="43" t="n"/>
      <c r="E49" s="43" t="n"/>
      <c r="F49" s="44" t="n"/>
    </row>
    <row r="50" ht="21.75" customHeight="1" s="34">
      <c r="A50" s="48" t="inlineStr">
        <is>
          <t>Blueberry Granola Parfait</t>
        </is>
      </c>
      <c r="B50" s="49" t="n">
        <v>2</v>
      </c>
      <c r="C50" s="49" t="n">
        <v>3</v>
      </c>
      <c r="D50" s="49" t="n">
        <v>0</v>
      </c>
      <c r="E50" s="50" t="n"/>
      <c r="F50" s="51" t="n"/>
    </row>
    <row r="51" ht="21.75" customHeight="1" s="34">
      <c r="A51" s="52" t="inlineStr">
        <is>
          <t>Sweet Potato Cinnamon Parfait</t>
        </is>
      </c>
      <c r="B51" s="53" t="n">
        <v>1</v>
      </c>
      <c r="C51" s="53" t="n">
        <v>3</v>
      </c>
      <c r="D51" s="53" t="n">
        <v>0</v>
      </c>
      <c r="E51" s="54">
        <f>B51+C51+D51</f>
        <v/>
      </c>
      <c r="F51" s="52" t="inlineStr">
        <is>
          <t>Surplus sweet potatoes</t>
        </is>
      </c>
    </row>
    <row r="52" ht="21.75" customHeight="1" s="34">
      <c r="A52" s="48" t="n"/>
      <c r="B52" s="49" t="n"/>
      <c r="C52" s="49" t="n"/>
      <c r="D52" s="49" t="n"/>
      <c r="E52" s="50">
        <f>B52+C52+D52</f>
        <v/>
      </c>
      <c r="F52" s="48" t="n"/>
    </row>
    <row r="53" ht="24" customHeight="1" s="34">
      <c r="A53" s="56" t="inlineStr">
        <is>
          <t>PARFAITS SUBTOTAL</t>
        </is>
      </c>
      <c r="B53" s="57">
        <f>SUM(B50:B52)</f>
        <v/>
      </c>
      <c r="C53" s="57">
        <f>SUM(C50:C52)</f>
        <v/>
      </c>
      <c r="D53" s="57">
        <f>SUM(D50:D52)</f>
        <v/>
      </c>
      <c r="E53" s="57">
        <f>SUM(E50:E52)</f>
        <v/>
      </c>
      <c r="F53" s="58" t="n"/>
    </row>
    <row r="54" ht="27.75" customHeight="1" s="34">
      <c r="A54" s="59" t="inlineStr">
        <is>
          <t>GRAND TOTAL — ALL ITEMS</t>
        </is>
      </c>
      <c r="B54" s="60">
        <f>B24+B29+B34+B42+B48+B53</f>
        <v/>
      </c>
      <c r="C54" s="60">
        <f>C24+C29+C34+C42+C48+C53</f>
        <v/>
      </c>
      <c r="D54" s="60">
        <f>D24+D29+D34+D42+D48+D53</f>
        <v/>
      </c>
      <c r="E54" s="60">
        <f>E24+E29+E34+E42+E48+E53</f>
        <v/>
      </c>
      <c r="F54" s="61" t="n"/>
    </row>
    <row r="56" ht="15" customHeight="1" s="34">
      <c r="A56" s="62" t="inlineStr">
        <is>
          <t>PRODUCTION NOTES</t>
        </is>
      </c>
    </row>
    <row r="57" ht="15" customHeight="1" s="34">
      <c r="A57" s="63" t="inlineStr">
        <is>
          <t>All items produced using cold assembly methods per HACCP protocols.</t>
        </is>
      </c>
    </row>
    <row r="58" ht="15" customHeight="1" s="34">
      <c r="A58" s="63" t="inlineStr">
        <is>
          <t>Shelf life: Salads &amp; Wraps 3 days | Lunch Bowls 5 days | Parfaits 3 days.</t>
        </is>
      </c>
    </row>
    <row r="59" ht="15" customHeight="1" s="34">
      <c r="A59" s="63" t="inlineStr">
        <is>
          <t>Menu driven by available surplus inventory — items change weekly.</t>
        </is>
      </c>
    </row>
    <row r="60" ht="15" customHeight="1" s="34">
      <c r="A60" s="63" t="inlineStr">
        <is>
          <t>Refer to individual Recipe Cards and SOPs for production procedures.</t>
        </is>
      </c>
    </row>
    <row r="61" ht="15" customHeight="1" s="34">
      <c r="A61" s="63" t="inlineStr">
        <is>
          <t>Monday PM delivery to Conroe &amp; New Caney. Friday AM delivery to Conroe only.</t>
        </is>
      </c>
    </row>
    <row r="62" ht="15" customHeight="1" s="34">
      <c r="A62" s="63" t="inlineStr">
        <is>
          <t>Breakfast tacos include 2 oz salsa side cup. Empanadas include 2 oz chimichurri side cup.</t>
        </is>
      </c>
    </row>
  </sheetData>
  <mergeCells count="19">
    <mergeCell ref="A56:F56"/>
    <mergeCell ref="A3:F3"/>
    <mergeCell ref="A57:F57"/>
    <mergeCell ref="A2:F2"/>
    <mergeCell ref="A14:F14"/>
    <mergeCell ref="A5:F5"/>
    <mergeCell ref="A17:F17"/>
    <mergeCell ref="A35:F35"/>
    <mergeCell ref="A62:F62"/>
    <mergeCell ref="A43:F43"/>
    <mergeCell ref="A58:F58"/>
    <mergeCell ref="A30:F30"/>
    <mergeCell ref="A59:F59"/>
    <mergeCell ref="A49:F49"/>
    <mergeCell ref="B15:C15"/>
    <mergeCell ref="A60:F60"/>
    <mergeCell ref="A1:F1"/>
    <mergeCell ref="A61:F61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3" min="1" max="1"/>
    <col width="22" customWidth="1" style="33" min="2" max="2"/>
    <col width="20" customWidth="1" style="33" min="3" max="3"/>
    <col width="18" customWidth="1" style="33" min="4" max="4"/>
    <col width="22" customWidth="1" style="33" min="5" max="5"/>
    <col width="28" customWidth="1" style="33" min="6" max="6"/>
  </cols>
  <sheetData>
    <row r="1" ht="34.5" customHeight="1" s="34">
      <c r="A1" s="35" t="inlineStr">
        <is>
          <t>CITIZENS COFFEE &amp; CATERING</t>
        </is>
      </c>
    </row>
    <row r="2" ht="15" customHeight="1" s="34">
      <c r="A2" s="36" t="inlineStr">
        <is>
          <t>Packaging Reference Guide</t>
        </is>
      </c>
    </row>
    <row r="3" ht="24.75" customHeight="1" s="34">
      <c r="A3" s="37" t="inlineStr">
        <is>
          <t>Category Defaults &amp; Item-Specific Packaging</t>
        </is>
      </c>
    </row>
    <row r="4" ht="7.5" customHeight="1" s="34"/>
    <row r="5" ht="36" customHeight="1" s="34">
      <c r="A5" s="64" t="inlineStr">
        <is>
          <t>HOW TO USE: Tan rows show the DEFAULT packaging for each category. White rows are for item-specific overrides — only fill these in when an item uses different packaging than the category default.</t>
        </is>
      </c>
    </row>
    <row r="6" ht="7.5" customHeight="1" s="34"/>
    <row r="7" ht="15" customHeight="1" s="34">
      <c r="A7" s="65" t="inlineStr">
        <is>
          <t>Category / Menu Item</t>
        </is>
      </c>
      <c r="B7" s="65" t="inlineStr">
        <is>
          <t>Container Type</t>
        </is>
      </c>
      <c r="C7" s="65" t="inlineStr">
        <is>
          <t>Container Size</t>
        </is>
      </c>
      <c r="D7" s="65" t="inlineStr">
        <is>
          <t>Lid Type</t>
        </is>
      </c>
      <c r="E7" s="65" t="inlineStr">
        <is>
          <t>Label / Sticker</t>
        </is>
      </c>
      <c r="F7" s="65" t="inlineStr">
        <is>
          <t>Notes</t>
        </is>
      </c>
    </row>
    <row r="8" ht="25.5" customHeight="1" s="34">
      <c r="A8" s="66" t="inlineStr">
        <is>
          <t>BREAKFAST</t>
        </is>
      </c>
      <c r="B8" s="43" t="n"/>
      <c r="C8" s="43" t="n"/>
      <c r="D8" s="43" t="n"/>
      <c r="E8" s="43" t="n"/>
      <c r="F8" s="43" t="n"/>
    </row>
    <row r="9" ht="25.5" customHeight="1" s="34">
      <c r="A9" s="67" t="inlineStr">
        <is>
          <t>BREAKFAST — DEFAULT</t>
        </is>
      </c>
      <c r="B9" s="68" t="n"/>
      <c r="C9" s="68" t="n"/>
      <c r="D9" s="68" t="n"/>
      <c r="E9" s="68" t="n"/>
      <c r="F9" s="40" t="n"/>
    </row>
    <row r="10" ht="21.75" customHeight="1" s="34">
      <c r="A10" s="48" t="n"/>
      <c r="B10" s="49" t="n"/>
      <c r="C10" s="49" t="n"/>
      <c r="D10" s="49" t="n"/>
      <c r="E10" s="49" t="n"/>
      <c r="F10" s="48" t="n"/>
    </row>
    <row r="11" ht="21.75" customHeight="1" s="34">
      <c r="A11" s="52" t="n"/>
      <c r="B11" s="53" t="n"/>
      <c r="C11" s="53" t="n"/>
      <c r="D11" s="53" t="n"/>
      <c r="E11" s="53" t="n"/>
      <c r="F11" s="52" t="n"/>
    </row>
    <row r="12" ht="21.75" customHeight="1" s="34">
      <c r="A12" s="48" t="n"/>
      <c r="B12" s="49" t="n"/>
      <c r="C12" s="49" t="n"/>
      <c r="D12" s="49" t="n"/>
      <c r="E12" s="49" t="n"/>
      <c r="F12" s="48" t="n"/>
    </row>
    <row r="13" ht="21.75" customHeight="1" s="34">
      <c r="A13" s="52" t="n"/>
      <c r="B13" s="53" t="n"/>
      <c r="C13" s="53" t="n"/>
      <c r="D13" s="53" t="n"/>
      <c r="E13" s="53" t="n"/>
      <c r="F13" s="52" t="n"/>
    </row>
    <row r="14" ht="21.75" customHeight="1" s="34">
      <c r="A14" s="48" t="n"/>
      <c r="B14" s="49" t="n"/>
      <c r="C14" s="49" t="n"/>
      <c r="D14" s="49" t="n"/>
      <c r="E14" s="49" t="n"/>
      <c r="F14" s="48" t="n"/>
    </row>
    <row r="15" ht="25.5" customHeight="1" s="34">
      <c r="A15" s="66" t="inlineStr">
        <is>
          <t>BOXED LUNCHES — Salads</t>
        </is>
      </c>
      <c r="B15" s="43" t="n"/>
      <c r="C15" s="43" t="n"/>
      <c r="D15" s="43" t="n"/>
      <c r="E15" s="43" t="n"/>
      <c r="F15" s="43" t="n"/>
    </row>
    <row r="16" ht="25.5" customHeight="1" s="34">
      <c r="A16" s="67" t="inlineStr">
        <is>
          <t>BOXED LUNCHES — Salads — DEFAULT</t>
        </is>
      </c>
      <c r="B16" s="68" t="n"/>
      <c r="C16" s="68" t="n"/>
      <c r="D16" s="68" t="n"/>
      <c r="E16" s="68" t="n"/>
      <c r="F16" s="40" t="n"/>
    </row>
    <row r="17" ht="21.75" customHeight="1" s="34">
      <c r="A17" s="48" t="n"/>
      <c r="B17" s="49" t="n"/>
      <c r="C17" s="49" t="n"/>
      <c r="D17" s="49" t="n"/>
      <c r="E17" s="49" t="n"/>
      <c r="F17" s="48" t="n"/>
    </row>
    <row r="18" ht="21.75" customHeight="1" s="34">
      <c r="A18" s="52" t="n"/>
      <c r="B18" s="53" t="n"/>
      <c r="C18" s="53" t="n"/>
      <c r="D18" s="53" t="n"/>
      <c r="E18" s="53" t="n"/>
      <c r="F18" s="52" t="n"/>
    </row>
    <row r="19" ht="21.75" customHeight="1" s="34">
      <c r="A19" s="48" t="n"/>
      <c r="B19" s="49" t="n"/>
      <c r="C19" s="49" t="n"/>
      <c r="D19" s="49" t="n"/>
      <c r="E19" s="49" t="n"/>
      <c r="F19" s="48" t="n"/>
    </row>
    <row r="20" ht="25.5" customHeight="1" s="34">
      <c r="A20" s="66" t="inlineStr">
        <is>
          <t>WRAPS &amp; SANDWICHES</t>
        </is>
      </c>
      <c r="B20" s="43" t="n"/>
      <c r="C20" s="43" t="n"/>
      <c r="D20" s="43" t="n"/>
      <c r="E20" s="43" t="n"/>
      <c r="F20" s="43" t="n"/>
    </row>
    <row r="21" ht="25.5" customHeight="1" s="34">
      <c r="A21" s="67" t="inlineStr">
        <is>
          <t>WRAPS &amp; SANDWICHES — DEFAULT</t>
        </is>
      </c>
      <c r="B21" s="68" t="n"/>
      <c r="C21" s="68" t="n"/>
      <c r="D21" s="68" t="n"/>
      <c r="E21" s="68" t="n"/>
      <c r="F21" s="40" t="n"/>
    </row>
    <row r="22" ht="21.75" customHeight="1" s="34">
      <c r="A22" s="48" t="n"/>
      <c r="B22" s="49" t="n"/>
      <c r="C22" s="49" t="n"/>
      <c r="D22" s="49" t="n"/>
      <c r="E22" s="49" t="n"/>
      <c r="F22" s="48" t="n"/>
    </row>
    <row r="23" ht="21.75" customHeight="1" s="34">
      <c r="A23" s="52" t="n"/>
      <c r="B23" s="53" t="n"/>
      <c r="C23" s="53" t="n"/>
      <c r="D23" s="53" t="n"/>
      <c r="E23" s="53" t="n"/>
      <c r="F23" s="52" t="n"/>
    </row>
    <row r="24" ht="21.75" customHeight="1" s="34">
      <c r="A24" s="48" t="n"/>
      <c r="B24" s="49" t="n"/>
      <c r="C24" s="49" t="n"/>
      <c r="D24" s="49" t="n"/>
      <c r="E24" s="49" t="n"/>
      <c r="F24" s="48" t="n"/>
    </row>
    <row r="25" ht="25.5" customHeight="1" s="34">
      <c r="A25" s="66" t="inlineStr">
        <is>
          <t>LUNCH BOWLS</t>
        </is>
      </c>
      <c r="B25" s="43" t="n"/>
      <c r="C25" s="43" t="n"/>
      <c r="D25" s="43" t="n"/>
      <c r="E25" s="43" t="n"/>
      <c r="F25" s="43" t="n"/>
    </row>
    <row r="26" ht="25.5" customHeight="1" s="34">
      <c r="A26" s="67" t="inlineStr">
        <is>
          <t>LUNCH BOWLS — DEFAULT</t>
        </is>
      </c>
      <c r="B26" s="68" t="n"/>
      <c r="C26" s="68" t="n"/>
      <c r="D26" s="68" t="n"/>
      <c r="E26" s="68" t="n"/>
      <c r="F26" s="40" t="n"/>
    </row>
    <row r="27" ht="21.75" customHeight="1" s="34">
      <c r="A27" s="48" t="n"/>
      <c r="B27" s="49" t="n"/>
      <c r="C27" s="49" t="n"/>
      <c r="D27" s="49" t="n"/>
      <c r="E27" s="49" t="n"/>
      <c r="F27" s="48" t="n"/>
    </row>
    <row r="28" ht="21.75" customHeight="1" s="34">
      <c r="A28" s="52" t="n"/>
      <c r="B28" s="53" t="n"/>
      <c r="C28" s="53" t="n"/>
      <c r="D28" s="53" t="n"/>
      <c r="E28" s="53" t="n"/>
      <c r="F28" s="52" t="n"/>
    </row>
    <row r="29" ht="21.75" customHeight="1" s="34">
      <c r="A29" s="48" t="n"/>
      <c r="B29" s="49" t="n"/>
      <c r="C29" s="49" t="n"/>
      <c r="D29" s="49" t="n"/>
      <c r="E29" s="49" t="n"/>
      <c r="F29" s="48" t="n"/>
    </row>
    <row r="30" ht="21.75" customHeight="1" s="34">
      <c r="A30" s="52" t="n"/>
      <c r="B30" s="53" t="n"/>
      <c r="C30" s="53" t="n"/>
      <c r="D30" s="53" t="n"/>
      <c r="E30" s="53" t="n"/>
      <c r="F30" s="52" t="n"/>
    </row>
    <row r="31" ht="25.5" customHeight="1" s="34">
      <c r="A31" s="66" t="inlineStr">
        <is>
          <t>LUNCH MISCELLANEOUS</t>
        </is>
      </c>
      <c r="B31" s="43" t="n"/>
      <c r="C31" s="43" t="n"/>
      <c r="D31" s="43" t="n"/>
      <c r="E31" s="43" t="n"/>
      <c r="F31" s="43" t="n"/>
    </row>
    <row r="32" ht="25.5" customHeight="1" s="34">
      <c r="A32" s="67" t="inlineStr">
        <is>
          <t>LUNCH MISCELLANEOUS — DEFAULT</t>
        </is>
      </c>
      <c r="B32" s="68" t="n"/>
      <c r="C32" s="68" t="n"/>
      <c r="D32" s="68" t="n"/>
      <c r="E32" s="68" t="n"/>
      <c r="F32" s="40" t="n"/>
    </row>
    <row r="33" ht="21.75" customHeight="1" s="34">
      <c r="A33" s="48" t="n"/>
      <c r="B33" s="49" t="n"/>
      <c r="C33" s="49" t="n"/>
      <c r="D33" s="49" t="n"/>
      <c r="E33" s="49" t="n"/>
      <c r="F33" s="48" t="n"/>
    </row>
    <row r="34" ht="21.75" customHeight="1" s="34">
      <c r="A34" s="52" t="n"/>
      <c r="B34" s="53" t="n"/>
      <c r="C34" s="53" t="n"/>
      <c r="D34" s="53" t="n"/>
      <c r="E34" s="53" t="n"/>
      <c r="F34" s="52" t="n"/>
    </row>
    <row r="35" ht="21.75" customHeight="1" s="34">
      <c r="A35" s="48" t="n"/>
      <c r="B35" s="49" t="n"/>
      <c r="C35" s="49" t="n"/>
      <c r="D35" s="49" t="n"/>
      <c r="E35" s="49" t="n"/>
      <c r="F35" s="48" t="n"/>
    </row>
    <row r="36" ht="21.75" customHeight="1" s="34">
      <c r="A36" s="52" t="n"/>
      <c r="B36" s="53" t="n"/>
      <c r="C36" s="53" t="n"/>
      <c r="D36" s="53" t="n"/>
      <c r="E36" s="53" t="n"/>
      <c r="F36" s="52" t="n"/>
    </row>
    <row r="37" ht="25.5" customHeight="1" s="34">
      <c r="A37" s="66" t="inlineStr">
        <is>
          <t>PARFAITS</t>
        </is>
      </c>
      <c r="B37" s="43" t="n"/>
      <c r="C37" s="43" t="n"/>
      <c r="D37" s="43" t="n"/>
      <c r="E37" s="43" t="n"/>
      <c r="F37" s="43" t="n"/>
    </row>
    <row r="38" ht="25.5" customHeight="1" s="34">
      <c r="A38" s="67" t="inlineStr">
        <is>
          <t>PARFAITS — DEFAULT</t>
        </is>
      </c>
      <c r="B38" s="68" t="n"/>
      <c r="C38" s="68" t="n"/>
      <c r="D38" s="68" t="n"/>
      <c r="E38" s="68" t="n"/>
      <c r="F38" s="40" t="n"/>
    </row>
    <row r="39" ht="21.75" customHeight="1" s="34">
      <c r="A39" s="48" t="n"/>
      <c r="B39" s="49" t="n"/>
      <c r="C39" s="49" t="n"/>
      <c r="D39" s="49" t="n"/>
      <c r="E39" s="49" t="n"/>
      <c r="F39" s="48" t="n"/>
    </row>
    <row r="40" ht="21.75" customHeight="1" s="34">
      <c r="A40" s="52" t="n"/>
      <c r="B40" s="53" t="n"/>
      <c r="C40" s="53" t="n"/>
      <c r="D40" s="53" t="n"/>
      <c r="E40" s="53" t="n"/>
      <c r="F40" s="52" t="n"/>
    </row>
    <row r="41" ht="21.75" customHeight="1" s="34">
      <c r="A41" s="48" t="n"/>
      <c r="B41" s="49" t="n"/>
      <c r="C41" s="49" t="n"/>
      <c r="D41" s="49" t="n"/>
      <c r="E41" s="49" t="n"/>
      <c r="F41" s="48" t="n"/>
    </row>
    <row r="43" ht="27.75" customHeight="1" s="34">
      <c r="A43" s="38" t="inlineStr">
        <is>
          <t>PACKAGING INVENTORY CHECKLIST</t>
        </is>
      </c>
    </row>
    <row r="44" ht="15" customHeight="1" s="34">
      <c r="A44" s="65" t="inlineStr">
        <is>
          <t>Packaging Item</t>
        </is>
      </c>
      <c r="B44" s="65" t="inlineStr">
        <is>
          <t>Size / Specs</t>
        </is>
      </c>
      <c r="C44" s="65" t="inlineStr">
        <is>
          <t>Current Stock</t>
        </is>
      </c>
      <c r="D44" s="65" t="inlineStr">
        <is>
          <t>Needed This Week</t>
        </is>
      </c>
      <c r="E44" s="65" t="inlineStr">
        <is>
          <t>Order Required?</t>
        </is>
      </c>
      <c r="F44" s="65" t="inlineStr">
        <is>
          <t>Supplier / Notes</t>
        </is>
      </c>
    </row>
    <row r="45" ht="21.75" customHeight="1" s="34">
      <c r="A45" s="48" t="n"/>
      <c r="B45" s="49" t="n"/>
      <c r="C45" s="49" t="n"/>
      <c r="D45" s="49" t="n"/>
      <c r="E45" s="49" t="n"/>
      <c r="F45" s="48" t="n"/>
    </row>
    <row r="46" ht="21.75" customHeight="1" s="34">
      <c r="A46" s="52" t="n"/>
      <c r="B46" s="53" t="n"/>
      <c r="C46" s="53" t="n"/>
      <c r="D46" s="53" t="n"/>
      <c r="E46" s="53" t="n"/>
      <c r="F46" s="52" t="n"/>
    </row>
    <row r="47" ht="21.75" customHeight="1" s="34">
      <c r="A47" s="48" t="n"/>
      <c r="B47" s="49" t="n"/>
      <c r="C47" s="49" t="n"/>
      <c r="D47" s="49" t="n"/>
      <c r="E47" s="49" t="n"/>
      <c r="F47" s="48" t="n"/>
    </row>
    <row r="48" ht="21.75" customHeight="1" s="34">
      <c r="A48" s="52" t="n"/>
      <c r="B48" s="53" t="n"/>
      <c r="C48" s="53" t="n"/>
      <c r="D48" s="53" t="n"/>
      <c r="E48" s="53" t="n"/>
      <c r="F48" s="52" t="n"/>
    </row>
    <row r="49" ht="21.75" customHeight="1" s="34">
      <c r="A49" s="48" t="n"/>
      <c r="B49" s="49" t="n"/>
      <c r="C49" s="49" t="n"/>
      <c r="D49" s="49" t="n"/>
      <c r="E49" s="49" t="n"/>
      <c r="F49" s="48" t="n"/>
    </row>
    <row r="50" ht="21.75" customHeight="1" s="34">
      <c r="A50" s="52" t="n"/>
      <c r="B50" s="53" t="n"/>
      <c r="C50" s="53" t="n"/>
      <c r="D50" s="53" t="n"/>
      <c r="E50" s="53" t="n"/>
      <c r="F50" s="52" t="n"/>
    </row>
    <row r="51" ht="21.75" customHeight="1" s="34">
      <c r="A51" s="48" t="n"/>
      <c r="B51" s="49" t="n"/>
      <c r="C51" s="49" t="n"/>
      <c r="D51" s="49" t="n"/>
      <c r="E51" s="49" t="n"/>
      <c r="F51" s="48" t="n"/>
    </row>
    <row r="52" ht="21.75" customHeight="1" s="34">
      <c r="A52" s="52" t="n"/>
      <c r="B52" s="53" t="n"/>
      <c r="C52" s="53" t="n"/>
      <c r="D52" s="53" t="n"/>
      <c r="E52" s="53" t="n"/>
      <c r="F52" s="52" t="n"/>
    </row>
    <row r="54" ht="15" customHeight="1" s="34">
      <c r="A54" s="62" t="inlineStr">
        <is>
          <t>PACKAGING NOTES</t>
        </is>
      </c>
    </row>
    <row r="55" ht="15" customHeight="1" s="34">
      <c r="A55" s="63" t="inlineStr">
        <is>
          <t>Category defaults apply to ALL items in that category unless an item-specific override is listed.</t>
        </is>
      </c>
    </row>
    <row r="56" ht="15" customHeight="1" s="34">
      <c r="A56" s="63" t="inlineStr">
        <is>
          <t>Only fill item-specific rows when packaging differs from the category default.</t>
        </is>
      </c>
    </row>
    <row r="57" ht="15" customHeight="1" s="34">
      <c r="A57" s="63" t="inlineStr">
        <is>
          <t>All containers must be food-safe, BPA-free, and appropriate for cold storage.</t>
        </is>
      </c>
    </row>
    <row r="58" ht="15" customHeight="1" s="34">
      <c r="A58" s="63" t="inlineStr">
        <is>
          <t>Labels must include: product name, date prepared, use-by date, and allergen information.</t>
        </is>
      </c>
    </row>
    <row r="59" ht="15" customHeight="1" s="34">
      <c r="A59" s="63" t="inlineStr">
        <is>
          <t>Update this reference when new packaging is sourced or container types change.</t>
        </is>
      </c>
    </row>
  </sheetData>
  <mergeCells count="17">
    <mergeCell ref="A2:F2"/>
    <mergeCell ref="A54:F54"/>
    <mergeCell ref="A1:F1"/>
    <mergeCell ref="A37:F37"/>
    <mergeCell ref="A5:F5"/>
    <mergeCell ref="A8:F8"/>
    <mergeCell ref="A31:F31"/>
    <mergeCell ref="A58:F58"/>
    <mergeCell ref="A56:F56"/>
    <mergeCell ref="A3:F3"/>
    <mergeCell ref="A43:F43"/>
    <mergeCell ref="A20:F20"/>
    <mergeCell ref="A55:F55"/>
    <mergeCell ref="A15:F15"/>
    <mergeCell ref="A59:F59"/>
    <mergeCell ref="A25:F25"/>
    <mergeCell ref="A57:F5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2026-03-08T20:51:55Z</dcterms:created>
  <dcterms:modified xmlns:dcterms="http://purl.org/dc/terms/" xmlns:xsi="http://www.w3.org/2001/XMLSchema-instance" xsi:type="dcterms:W3CDTF">2026-03-14T23:51:23Z</dcterms:modified>
  <cp:revision>0</cp:revision>
</cp:coreProperties>
</file>